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\Downloads\"/>
    </mc:Choice>
  </mc:AlternateContent>
  <xr:revisionPtr revIDLastSave="0" documentId="13_ncr:1_{258548ED-300E-4776-9A0E-A76A9FC44D72}" xr6:coauthVersionLast="47" xr6:coauthVersionMax="47" xr10:uidLastSave="{00000000-0000-0000-0000-000000000000}"/>
  <bookViews>
    <workbookView xWindow="-120" yWindow="-120" windowWidth="29040" windowHeight="15720" activeTab="1" xr2:uid="{4689F946-3DB7-46FE-9A0D-464AE8C6E54E}"/>
  </bookViews>
  <sheets>
    <sheet name="Demonstrativo" sheetId="1" r:id="rId1"/>
    <sheet name="Nota de Aquisição Combustív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E3" i="2"/>
  <c r="D3" i="2"/>
  <c r="E2" i="2"/>
  <c r="D2" i="2"/>
  <c r="L4" i="1"/>
  <c r="O4" i="1" s="1"/>
  <c r="P4" i="1" s="1"/>
</calcChain>
</file>

<file path=xl/sharedStrings.xml><?xml version="1.0" encoding="utf-8"?>
<sst xmlns="http://schemas.openxmlformats.org/spreadsheetml/2006/main" count="117" uniqueCount="71">
  <si>
    <t>Art. 62-B § 3º I</t>
  </si>
  <si>
    <t>Art. 62-B § 3º II</t>
  </si>
  <si>
    <t>Art. 62-B § 3º IV</t>
  </si>
  <si>
    <t>Art. 62-B § 3º V</t>
  </si>
  <si>
    <t>Art. 62-B § 3º VI</t>
  </si>
  <si>
    <t>Art. 62-B § 3º VII</t>
  </si>
  <si>
    <t>Veículo Utilizado</t>
  </si>
  <si>
    <t>Trajeto</t>
  </si>
  <si>
    <t>Carga</t>
  </si>
  <si>
    <t>Combustível</t>
  </si>
  <si>
    <t>Valor do Combustivel</t>
  </si>
  <si>
    <t>Crédito a ser apropriado</t>
  </si>
  <si>
    <t>Nota de Aquisição do Combustível</t>
  </si>
  <si>
    <t>Modelo</t>
  </si>
  <si>
    <t>Tipo</t>
  </si>
  <si>
    <t>Renavam</t>
  </si>
  <si>
    <t>Placa</t>
  </si>
  <si>
    <t>MDF-e</t>
  </si>
  <si>
    <t>Data</t>
  </si>
  <si>
    <t>Roteiro</t>
  </si>
  <si>
    <t>Distância Percorrida (KM)</t>
  </si>
  <si>
    <t>N° NF-e</t>
  </si>
  <si>
    <t>Data de Emissão</t>
  </si>
  <si>
    <t>Quantidade (LT)</t>
  </si>
  <si>
    <t>Espécie do Combustivel</t>
  </si>
  <si>
    <t>Valor unitário</t>
  </si>
  <si>
    <t>Valor Total do Combustivel</t>
  </si>
  <si>
    <t>Valor do Crédito a ser utilizado (17%)</t>
  </si>
  <si>
    <t>Data de Aquisição</t>
  </si>
  <si>
    <t>CARGO BELP SL</t>
  </si>
  <si>
    <t>CAMINHAO</t>
  </si>
  <si>
    <t>AXU1J54</t>
  </si>
  <si>
    <t>ITAPORA/PONTA PORA/ ANTONIO JOAO/AMAMBAI</t>
  </si>
  <si>
    <t>Diesel</t>
  </si>
  <si>
    <t>11594</t>
  </si>
  <si>
    <t>Existe no XML</t>
  </si>
  <si>
    <t>Quantidade x Valor Unitario</t>
  </si>
  <si>
    <t>Fixo 17% para interna e 7% interestadual.</t>
  </si>
  <si>
    <t>Planilha NFe combustivel</t>
  </si>
  <si>
    <t>Existe no XML?</t>
  </si>
  <si>
    <t>Solução</t>
  </si>
  <si>
    <t>(Verificar possibilidade de inclusão manual ou site de pesquisa por renavam)</t>
  </si>
  <si>
    <t>NÃO</t>
  </si>
  <si>
    <t>SIM</t>
  </si>
  <si>
    <t>Fazer cruzamento da chave de acesso do MDF-e com o arquivo Sped Fiscal</t>
  </si>
  <si>
    <t>-</t>
  </si>
  <si>
    <t>Média (Campo editavel)</t>
  </si>
  <si>
    <t>Busca da planilha de nota de combustível</t>
  </si>
  <si>
    <t>Necessita dois calculos 1° Verificar API para MAPS ou outro site de busca para calcular a distância, precisa realizar os seguintes cruzamento: 1) Identifica chave de acesso no MDF-e 2)Busca a chave de acesso no Sped Fiscal 3) Identifica o local do estabelecimento do destinatário da nota fiscal 4) Calcula a Rota.  2° Verificar API para MAPS ou outro site de busca para calcular a distância, entre cidades e retornando a Itaporã.</t>
  </si>
  <si>
    <t>Resumo</t>
  </si>
  <si>
    <t>Valor Total</t>
  </si>
  <si>
    <t>Etanol</t>
  </si>
  <si>
    <t>Gasolina</t>
  </si>
  <si>
    <t>Demonstrativo de Aquisição de Combustivel</t>
  </si>
  <si>
    <t>N° Nota Fiscal</t>
  </si>
  <si>
    <t>Fornecedor</t>
  </si>
  <si>
    <t>Produto</t>
  </si>
  <si>
    <t>Categoria</t>
  </si>
  <si>
    <t>Quantidade (Litros)</t>
  </si>
  <si>
    <t>Valor Unitário</t>
  </si>
  <si>
    <t>Valor total</t>
  </si>
  <si>
    <t>Chave de Acesso</t>
  </si>
  <si>
    <t>CNPJ</t>
  </si>
  <si>
    <t>Data de emissão</t>
  </si>
  <si>
    <t>Data de Entrada</t>
  </si>
  <si>
    <t>Vem descrita no sped fiscal, fazer cruzamento xml x txt do sped fiscal</t>
  </si>
  <si>
    <t xml:space="preserve">Endereço </t>
  </si>
  <si>
    <t>(filtrar por ncm e/ou descrição)</t>
  </si>
  <si>
    <t>Exemplo</t>
  </si>
  <si>
    <t>Planilha NFe combustivel, precisa vincular cruzamento para buscar nota emitida na mesma data e mesmo local; total do combustivel gasto aproximado; nota no qual a indicativo da placa nas observações complementares do XML; ou alternativamente outra solução (a discutir)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</si>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</sst>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color theme="1"/>
      <name val="Cambria"/>
      <family val="1"/>
    </font>
    <font>
      <b/>
      <sz val="10"/>
      <color theme="0"/>
      <name val="Cambria"/>
      <family val="1"/>
    </font>
    <font>
      <b/>
      <sz val="10"/>
      <color theme="1"/>
      <name val="Cambria"/>
      <family val="1"/>
    </font>
    <font>
      <sz val="10"/>
      <color theme="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3" fontId="3" fillId="2" borderId="1" xfId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3" fontId="3" fillId="2" borderId="0" xfId="1" applyFont="1" applyFill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3" fontId="2" fillId="0" borderId="0" xfId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0A1C-B816-4CC2-856A-1598DDC29E93}">
  <dimension ref="A1:R6"/>
  <sheetViews>
    <sheetView showGridLines="0" topLeftCell="G1" zoomScale="130" zoomScaleNormal="130" workbookViewId="0">
      <selection activeCell="N6" sqref="N6"/>
    </sheetView>
  </sheetViews>
  <sheetFormatPr defaultRowHeight="12.75" x14ac:dyDescent="0.25"/>
  <cols>
    <col min="1" max="1" width="9" style="28"/>
    <col min="2" max="2" width="8.75" style="12" customWidth="1"/>
    <col min="3" max="3" width="12.625" style="12" customWidth="1"/>
    <col min="4" max="5" width="9" style="12"/>
    <col min="6" max="6" width="10" style="12" customWidth="1"/>
    <col min="7" max="7" width="9.375" style="12" bestFit="1" customWidth="1"/>
    <col min="8" max="8" width="16.25" style="12" customWidth="1"/>
    <col min="9" max="9" width="24.125" style="12" customWidth="1"/>
    <col min="10" max="10" width="7.125" style="12" bestFit="1" customWidth="1"/>
    <col min="11" max="11" width="19.125" style="12" customWidth="1"/>
    <col min="12" max="12" width="9.875" style="12" customWidth="1"/>
    <col min="13" max="13" width="12.875" style="12" customWidth="1"/>
    <col min="14" max="14" width="13.875" style="12" customWidth="1"/>
    <col min="15" max="15" width="13.25" style="12" customWidth="1"/>
    <col min="16" max="16" width="13.125" style="12" customWidth="1"/>
    <col min="17" max="17" width="20" style="12" customWidth="1"/>
    <col min="18" max="18" width="13.75" style="12" customWidth="1"/>
    <col min="19" max="16384" width="9" style="12"/>
  </cols>
  <sheetData>
    <row r="1" spans="1:18" s="1" customFormat="1" x14ac:dyDescent="0.25">
      <c r="A1" s="26"/>
      <c r="B1" s="2" t="s">
        <v>0</v>
      </c>
      <c r="C1" s="2"/>
      <c r="D1" s="2"/>
      <c r="E1" s="2"/>
      <c r="F1" s="2" t="s">
        <v>1</v>
      </c>
      <c r="G1" s="2"/>
      <c r="H1" s="2"/>
      <c r="I1" s="2"/>
      <c r="J1" s="2"/>
      <c r="K1" s="2"/>
      <c r="L1" s="2" t="s">
        <v>2</v>
      </c>
      <c r="M1" s="2"/>
      <c r="N1" s="2" t="s">
        <v>3</v>
      </c>
      <c r="O1" s="2"/>
      <c r="P1" s="3" t="s">
        <v>4</v>
      </c>
      <c r="Q1" s="2" t="s">
        <v>5</v>
      </c>
      <c r="R1" s="2"/>
    </row>
    <row r="2" spans="1:18" s="4" customFormat="1" ht="25.5" x14ac:dyDescent="0.25">
      <c r="A2" s="27"/>
      <c r="B2" s="2" t="s">
        <v>6</v>
      </c>
      <c r="C2" s="2"/>
      <c r="D2" s="2"/>
      <c r="E2" s="2"/>
      <c r="F2" s="2" t="s">
        <v>7</v>
      </c>
      <c r="G2" s="2"/>
      <c r="H2" s="2"/>
      <c r="I2" s="2"/>
      <c r="J2" s="2" t="s">
        <v>8</v>
      </c>
      <c r="K2" s="2"/>
      <c r="L2" s="2" t="s">
        <v>9</v>
      </c>
      <c r="M2" s="2"/>
      <c r="N2" s="2" t="s">
        <v>10</v>
      </c>
      <c r="O2" s="2"/>
      <c r="P2" s="3" t="s">
        <v>11</v>
      </c>
      <c r="Q2" s="2" t="s">
        <v>12</v>
      </c>
      <c r="R2" s="2"/>
    </row>
    <row r="3" spans="1:18" s="4" customFormat="1" ht="38.25" x14ac:dyDescent="0.25">
      <c r="A3" s="27"/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3" t="s">
        <v>26</v>
      </c>
      <c r="P3" s="3" t="s">
        <v>27</v>
      </c>
      <c r="Q3" s="3" t="s">
        <v>21</v>
      </c>
      <c r="R3" s="3" t="s">
        <v>28</v>
      </c>
    </row>
    <row r="4" spans="1:18" s="1" customFormat="1" ht="38.25" x14ac:dyDescent="0.25">
      <c r="A4" s="27" t="s">
        <v>68</v>
      </c>
      <c r="B4" s="5" t="s">
        <v>29</v>
      </c>
      <c r="C4" s="5" t="s">
        <v>30</v>
      </c>
      <c r="D4" s="5">
        <v>252660293</v>
      </c>
      <c r="E4" s="5" t="s">
        <v>31</v>
      </c>
      <c r="F4" s="5">
        <v>478</v>
      </c>
      <c r="G4" s="6">
        <v>44044</v>
      </c>
      <c r="H4" s="6" t="s">
        <v>32</v>
      </c>
      <c r="I4" s="5">
        <v>492</v>
      </c>
      <c r="J4" s="5">
        <v>15056</v>
      </c>
      <c r="K4" s="6">
        <v>45872</v>
      </c>
      <c r="L4" s="5">
        <f>I4/3</f>
        <v>164</v>
      </c>
      <c r="M4" s="5" t="s">
        <v>33</v>
      </c>
      <c r="N4" s="7">
        <v>3.49</v>
      </c>
      <c r="O4" s="8">
        <f>L4*N4</f>
        <v>572.36</v>
      </c>
      <c r="P4" s="8">
        <f>O4*17%</f>
        <v>97.301200000000009</v>
      </c>
      <c r="Q4" s="9" t="s">
        <v>34</v>
      </c>
      <c r="R4" s="6">
        <v>45873</v>
      </c>
    </row>
    <row r="5" spans="1:18" s="1" customFormat="1" ht="25.5" x14ac:dyDescent="0.25">
      <c r="A5" s="27" t="s">
        <v>39</v>
      </c>
      <c r="B5" s="10" t="s">
        <v>42</v>
      </c>
      <c r="C5" s="11"/>
      <c r="D5" s="6" t="s">
        <v>43</v>
      </c>
      <c r="E5" s="6" t="s">
        <v>43</v>
      </c>
      <c r="F5" s="6" t="s">
        <v>43</v>
      </c>
      <c r="G5" s="6" t="s">
        <v>43</v>
      </c>
      <c r="H5" s="6" t="s">
        <v>43</v>
      </c>
      <c r="I5" s="5" t="s">
        <v>42</v>
      </c>
      <c r="J5" s="5" t="s">
        <v>43</v>
      </c>
      <c r="K5" s="5" t="s">
        <v>42</v>
      </c>
      <c r="L5" s="5" t="s">
        <v>42</v>
      </c>
      <c r="M5" s="5" t="s">
        <v>43</v>
      </c>
      <c r="N5" s="7" t="s">
        <v>42</v>
      </c>
      <c r="O5" s="5" t="s">
        <v>42</v>
      </c>
      <c r="P5" s="5" t="s">
        <v>42</v>
      </c>
      <c r="Q5" s="5" t="s">
        <v>42</v>
      </c>
      <c r="R5" s="5" t="s">
        <v>42</v>
      </c>
    </row>
    <row r="6" spans="1:18" s="1" customFormat="1" ht="191.25" x14ac:dyDescent="0.25">
      <c r="A6" s="27" t="s">
        <v>40</v>
      </c>
      <c r="B6" s="10" t="s">
        <v>41</v>
      </c>
      <c r="C6" s="11"/>
      <c r="D6" s="5" t="s">
        <v>45</v>
      </c>
      <c r="E6" s="5" t="s">
        <v>45</v>
      </c>
      <c r="F6" s="5" t="s">
        <v>45</v>
      </c>
      <c r="G6" s="5" t="s">
        <v>45</v>
      </c>
      <c r="H6" s="5" t="s">
        <v>45</v>
      </c>
      <c r="I6" s="5" t="s">
        <v>48</v>
      </c>
      <c r="J6" s="5" t="s">
        <v>45</v>
      </c>
      <c r="K6" s="5" t="s">
        <v>44</v>
      </c>
      <c r="L6" s="5" t="s">
        <v>46</v>
      </c>
      <c r="M6" s="5" t="s">
        <v>45</v>
      </c>
      <c r="N6" s="5" t="s">
        <v>47</v>
      </c>
      <c r="O6" s="5" t="s">
        <v>36</v>
      </c>
      <c r="P6" s="5" t="s">
        <v>37</v>
      </c>
      <c r="Q6" s="5" t="s">
        <v>69</v>
      </c>
      <c r="R6" s="5" t="s">
        <v>38</v>
      </c>
    </row>
  </sheetData>
  <mergeCells count="13">
    <mergeCell ref="B5:C5"/>
    <mergeCell ref="B6:C6"/>
    <mergeCell ref="B2:E2"/>
    <mergeCell ref="F2:I2"/>
    <mergeCell ref="J2:K2"/>
    <mergeCell ref="L2:M2"/>
    <mergeCell ref="N2:O2"/>
    <mergeCell ref="Q2:R2"/>
    <mergeCell ref="B1:E1"/>
    <mergeCell ref="F1:K1"/>
    <mergeCell ref="L1:M1"/>
    <mergeCell ref="N1:O1"/>
    <mergeCell ref="Q1:R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E18B-A6C2-4F18-9BFC-5E6DCFA170DD}">
  <dimension ref="A1:R10"/>
  <sheetViews>
    <sheetView showGridLines="0" tabSelected="1" topLeftCell="A5" zoomScale="115" zoomScaleNormal="115" workbookViewId="0">
      <selection activeCell="I12" sqref="I12"/>
    </sheetView>
  </sheetViews>
  <sheetFormatPr defaultRowHeight="12.75" x14ac:dyDescent="0.25"/>
  <cols>
    <col min="1" max="1" width="7.125" style="1" bestFit="1" customWidth="1"/>
    <col min="2" max="2" width="13.25" style="1" bestFit="1" customWidth="1"/>
    <col min="3" max="3" width="24.875" style="1" bestFit="1" customWidth="1"/>
    <col min="4" max="4" width="13.75" style="1" bestFit="1" customWidth="1"/>
    <col min="5" max="5" width="9.875" style="1" bestFit="1" customWidth="1"/>
    <col min="6" max="6" width="12" style="1" bestFit="1" customWidth="1"/>
    <col min="7" max="7" width="8.125" style="1" bestFit="1" customWidth="1"/>
    <col min="8" max="8" width="23.25" style="1" bestFit="1" customWidth="1"/>
    <col min="9" max="9" width="8.25" style="1" bestFit="1" customWidth="1"/>
    <col min="10" max="10" width="16.25" style="16" bestFit="1" customWidth="1"/>
    <col min="11" max="11" width="12.25" style="21" bestFit="1" customWidth="1"/>
    <col min="12" max="12" width="9.375" style="16" bestFit="1" customWidth="1"/>
    <col min="13" max="13" width="13.375" style="22" bestFit="1" customWidth="1"/>
    <col min="14" max="16" width="9" style="1"/>
    <col min="17" max="17" width="9.75" style="16" bestFit="1" customWidth="1"/>
    <col min="18" max="18" width="9.625" style="16" bestFit="1" customWidth="1"/>
    <col min="19" max="16384" width="9" style="1"/>
  </cols>
  <sheetData>
    <row r="1" spans="1:18" hidden="1" x14ac:dyDescent="0.25">
      <c r="B1" s="3" t="s">
        <v>49</v>
      </c>
      <c r="C1" s="3"/>
      <c r="D1" s="13" t="s">
        <v>23</v>
      </c>
      <c r="E1" s="13" t="s">
        <v>50</v>
      </c>
      <c r="F1" s="20"/>
    </row>
    <row r="2" spans="1:18" hidden="1" x14ac:dyDescent="0.25">
      <c r="B2" s="3" t="s">
        <v>51</v>
      </c>
      <c r="C2" s="3"/>
      <c r="D2" s="7">
        <f>SUMIFS($J:$J,$I:$I,$B$2)</f>
        <v>0</v>
      </c>
      <c r="E2" s="7">
        <f>SUMIFS($L:$L,$I:$I,B2)</f>
        <v>0</v>
      </c>
      <c r="F2" s="23"/>
    </row>
    <row r="3" spans="1:18" hidden="1" x14ac:dyDescent="0.25">
      <c r="B3" s="3" t="s">
        <v>33</v>
      </c>
      <c r="C3" s="3"/>
      <c r="D3" s="7">
        <f>SUMIFS($J:$J,$I:$I,B3)</f>
        <v>0</v>
      </c>
      <c r="E3" s="7">
        <f>SUMIFS($L:$L,$I:$I,B3)</f>
        <v>0</v>
      </c>
      <c r="F3" s="23"/>
    </row>
    <row r="4" spans="1:18" hidden="1" x14ac:dyDescent="0.25">
      <c r="B4" s="3" t="s">
        <v>52</v>
      </c>
      <c r="C4" s="3"/>
      <c r="D4" s="7">
        <f>SUMIFS($J:$J,$I:$I,B4)</f>
        <v>0</v>
      </c>
      <c r="E4" s="7">
        <f>SUMIFS($L:$L,$I:$I,B4)</f>
        <v>0</v>
      </c>
      <c r="F4" s="23"/>
    </row>
    <row r="6" spans="1:18" x14ac:dyDescent="0.25">
      <c r="A6" s="27"/>
      <c r="B6" s="2" t="s">
        <v>53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8" x14ac:dyDescent="0.25">
      <c r="A7" s="27"/>
      <c r="B7" s="3" t="s">
        <v>63</v>
      </c>
      <c r="C7" s="3" t="s">
        <v>64</v>
      </c>
      <c r="D7" s="3" t="s">
        <v>54</v>
      </c>
      <c r="E7" s="18" t="s">
        <v>55</v>
      </c>
      <c r="F7" s="19"/>
      <c r="G7" s="3" t="s">
        <v>66</v>
      </c>
      <c r="H7" s="3" t="s">
        <v>56</v>
      </c>
      <c r="I7" s="3" t="s">
        <v>57</v>
      </c>
      <c r="J7" s="13" t="s">
        <v>58</v>
      </c>
      <c r="K7" s="14" t="s">
        <v>59</v>
      </c>
      <c r="L7" s="13" t="s">
        <v>60</v>
      </c>
      <c r="M7" s="15" t="s">
        <v>61</v>
      </c>
      <c r="N7" s="16"/>
      <c r="Q7" s="1"/>
      <c r="R7" s="1"/>
    </row>
    <row r="8" spans="1:18" x14ac:dyDescent="0.25">
      <c r="A8" s="27"/>
      <c r="B8" s="3"/>
      <c r="C8" s="3"/>
      <c r="D8" s="3"/>
      <c r="E8" s="24" t="s">
        <v>62</v>
      </c>
      <c r="F8" s="25" t="s">
        <v>70</v>
      </c>
      <c r="G8" s="3"/>
      <c r="H8" s="3"/>
      <c r="I8" s="3"/>
      <c r="J8" s="13"/>
      <c r="K8" s="14"/>
      <c r="L8" s="13"/>
      <c r="M8" s="15"/>
      <c r="N8" s="16"/>
      <c r="Q8" s="1"/>
      <c r="R8" s="1"/>
    </row>
    <row r="9" spans="1:18" ht="30.75" customHeight="1" x14ac:dyDescent="0.25">
      <c r="A9" s="29" t="s">
        <v>35</v>
      </c>
      <c r="B9" s="5" t="s">
        <v>43</v>
      </c>
      <c r="C9" s="5" t="s">
        <v>42</v>
      </c>
      <c r="D9" s="5" t="s">
        <v>43</v>
      </c>
      <c r="E9" s="5" t="s">
        <v>43</v>
      </c>
      <c r="F9" s="5" t="s">
        <v>43</v>
      </c>
      <c r="G9" s="5" t="s">
        <v>43</v>
      </c>
      <c r="H9" s="5" t="s">
        <v>43</v>
      </c>
      <c r="I9" s="5" t="s">
        <v>43</v>
      </c>
      <c r="J9" s="7" t="s">
        <v>43</v>
      </c>
      <c r="K9" s="17" t="s">
        <v>43</v>
      </c>
      <c r="L9" s="7" t="s">
        <v>43</v>
      </c>
      <c r="M9" s="9" t="s">
        <v>43</v>
      </c>
    </row>
    <row r="10" spans="1:18" ht="38.25" x14ac:dyDescent="0.25">
      <c r="A10" s="27" t="s">
        <v>40</v>
      </c>
      <c r="B10" s="6" t="s">
        <v>45</v>
      </c>
      <c r="C10" s="6" t="s">
        <v>65</v>
      </c>
      <c r="D10" s="5" t="s">
        <v>45</v>
      </c>
      <c r="E10" s="5" t="s">
        <v>45</v>
      </c>
      <c r="F10" s="5" t="s">
        <v>45</v>
      </c>
      <c r="G10" s="5" t="s">
        <v>45</v>
      </c>
      <c r="H10" s="5" t="s">
        <v>67</v>
      </c>
      <c r="I10" s="5" t="s">
        <v>45</v>
      </c>
      <c r="J10" s="7" t="s">
        <v>45</v>
      </c>
      <c r="K10" s="17" t="s">
        <v>45</v>
      </c>
      <c r="L10" s="7" t="s">
        <v>45</v>
      </c>
      <c r="M10" s="9" t="s">
        <v>45</v>
      </c>
    </row>
  </sheetData>
  <mergeCells count="2">
    <mergeCell ref="B6:M6"/>
    <mergeCell ref="E7:F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Demonstrativo</vt:lpstr>
      <vt:lpstr>Nota de Aquisição Combustível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ferreira</dc:creator>
  <cp:lastModifiedBy>wesley ferreira</cp:lastModifiedBy>
  <dcterms:created xsi:type="dcterms:W3CDTF">2025-09-19T20:14:52Z</dcterms:created>
  <dcterms:modified xsi:type="dcterms:W3CDTF">2025-09-19T20:36:55Z</dcterms:modified>
</cp:coreProperties>
</file>